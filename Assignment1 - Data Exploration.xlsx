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yosna Reddy\Downloads\"/>
    </mc:Choice>
  </mc:AlternateContent>
  <xr:revisionPtr revIDLastSave="0" documentId="13_ncr:1_{5CF95A49-57E3-409A-AFDD-90549836075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ASSIGNMENT 1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6" i="2" l="1"/>
  <c r="Y25" i="2"/>
  <c r="W24" i="2"/>
  <c r="V21" i="2"/>
  <c r="V20" i="2"/>
  <c r="AB17" i="2"/>
  <c r="S14" i="2"/>
  <c r="S13" i="2"/>
  <c r="S10" i="2"/>
  <c r="S9" i="2"/>
  <c r="S8" i="2"/>
  <c r="D36" i="2"/>
  <c r="H36" i="2"/>
  <c r="I36" i="2"/>
  <c r="J36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32" i="2"/>
  <c r="G33" i="2"/>
  <c r="G34" i="2"/>
  <c r="G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</calcChain>
</file>

<file path=xl/sharedStrings.xml><?xml version="1.0" encoding="utf-8"?>
<sst xmlns="http://schemas.openxmlformats.org/spreadsheetml/2006/main" count="194" uniqueCount="125">
  <si>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</si>
  <si>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</si>
  <si>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</si>
  <si>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</si>
  <si>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</si>
  <si>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</si>
  <si>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</si>
  <si>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</si>
  <si>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</si>
  <si>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</si>
  <si>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</si>
  <si>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</si>
  <si>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</si>
  <si>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</si>
  <si>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</si>
  <si>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</si>
  <si>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</si>
  <si>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</si>
  <si>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</si>
  <si>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</si>
  <si>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</si>
  <si>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</si>
  <si>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</si>
  <si>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</si>
  <si>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</si>
  <si>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</si>
  <si>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</si>
  <si>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</si>
  <si>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</si>
  <si>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</si>
  <si>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</si>
  <si>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</si>
  <si>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</si>
  <si>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</si>
  <si>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</si>
  <si>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</si>
  <si>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</si>
  <si>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</si>
  <si>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</si>
  <si>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</si>
  <si>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</si>
  <si>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</si>
  <si>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</si>
  <si>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</si>
  <si>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</si>
  <si>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</si>
  <si>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</si>
  <si>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</si>
  <si>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</si>
  <si>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</si>
  <si>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</si>
  <si>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</si>
  <si>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</si>
  <si>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</si>
  <si>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</si>
  <si>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</si>
  <si>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</si>
  <si>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</si>
  <si>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</si>
  <si>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</si>
  <si>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</si>
  <si>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</si>
  <si>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</si>
  <si>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</si>
  <si>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</si>
  <si>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</si>
  <si>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</si>
  <si>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</si>
  <si>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</si>
  <si>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</si>
  <si>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</si>
  <si>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</si>
  <si>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</si>
  <si>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</si>
  <si>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</si>
  <si>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</si>
  <si>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</si>
  <si>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</si>
  <si>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</si>
  <si>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</si>
  <si>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</si>
  <si>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</si>
  <si>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</si>
  <si>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</si>
  <si>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</si>
  <si>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</si>
  <si>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</si>
  <si>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</si>
  <si>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</si>
  <si>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</si>
  <si>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</si>
  <si>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</si>
  <si>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</si>
  <si>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</si>
  <si>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</si>
  <si>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</si>
  <si>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</si>
  <si>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</si>
  <si>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</si>
  <si>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</si>
  <si>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</si>
  <si>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</si>
  <si>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</si>
  <si>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</si>
  <si>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</si>
  <si>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</si>
  <si>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</si>
  <si>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</si>
  <si>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</si>
  <si>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</si>
  <si>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IF</t>
  </si>
  <si>
    <t>LEFT</t>
  </si>
  <si>
    <t>RIGHT</t>
  </si>
  <si>
    <t>MID</t>
  </si>
  <si>
    <t>TOTAL</t>
  </si>
  <si>
    <t>QUESTIONS</t>
  </si>
  <si>
    <t>SUMIF</t>
  </si>
  <si>
    <t>countif</t>
  </si>
  <si>
    <t>MIN</t>
  </si>
  <si>
    <t>MAX</t>
  </si>
  <si>
    <t>SUM</t>
  </si>
  <si>
    <t>COUNT</t>
  </si>
  <si>
    <t>AVERAGE</t>
  </si>
  <si>
    <t>ANSWERS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</si>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</sst>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</font>
    <font>
      <sz val="10"/>
      <color theme="4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  <fill>
      <patternFill patternType="solid">
        <fgColor theme="8"/>
        <bgColor rgb="FFE0F7FA"/>
      </patternFill>
    </fill>
    <fill>
      <patternFill patternType="solid">
        <fgColor theme="9"/>
        <bgColor rgb="FFE0F7FA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" fillId="5" borderId="0" xfId="0" applyFont="1" applyFill="1"/>
    <xf numFmtId="0" fontId="4" fillId="6" borderId="0" xfId="0" applyFont="1" applyFill="1"/>
    <xf numFmtId="0" fontId="2" fillId="6" borderId="0" xfId="0" applyFont="1" applyFill="1"/>
    <xf numFmtId="0" fontId="6" fillId="7" borderId="0" xfId="0" applyFont="1" applyFill="1"/>
    <xf numFmtId="0" fontId="8" fillId="0" borderId="2" xfId="0" applyFont="1" applyBorder="1"/>
    <xf numFmtId="0" fontId="8" fillId="0" borderId="3" xfId="0" applyFont="1" applyBorder="1"/>
    <xf numFmtId="0" fontId="11" fillId="7" borderId="4" xfId="0" applyFont="1" applyFill="1" applyBorder="1"/>
    <xf numFmtId="0" fontId="12" fillId="11" borderId="5" xfId="0" applyFont="1" applyFill="1" applyBorder="1"/>
    <xf numFmtId="0" fontId="12" fillId="11" borderId="6" xfId="0" applyFont="1" applyFill="1" applyBorder="1"/>
    <xf numFmtId="0" fontId="8" fillId="10" borderId="5" xfId="0" applyFont="1" applyFill="1" applyBorder="1"/>
    <xf numFmtId="0" fontId="8" fillId="10" borderId="6" xfId="0" applyFont="1" applyFill="1" applyBorder="1"/>
    <xf numFmtId="0" fontId="14" fillId="7" borderId="4" xfId="0" applyFont="1" applyFill="1" applyBorder="1"/>
    <xf numFmtId="0" fontId="6" fillId="7" borderId="5" xfId="0" applyFont="1" applyFill="1" applyBorder="1"/>
    <xf numFmtId="0" fontId="6" fillId="0" borderId="5" xfId="0" applyFont="1" applyBorder="1"/>
    <xf numFmtId="0" fontId="8" fillId="0" borderId="5" xfId="0" applyFont="1" applyBorder="1"/>
    <xf numFmtId="0" fontId="8" fillId="0" borderId="6" xfId="0" applyFont="1" applyBorder="1"/>
    <xf numFmtId="0" fontId="6" fillId="10" borderId="4" xfId="0" applyFont="1" applyFill="1" applyBorder="1"/>
    <xf numFmtId="0" fontId="13" fillId="6" borderId="5" xfId="0" applyFont="1" applyFill="1" applyBorder="1"/>
    <xf numFmtId="0" fontId="6" fillId="6" borderId="5" xfId="0" applyFont="1" applyFill="1" applyBorder="1"/>
    <xf numFmtId="0" fontId="9" fillId="6" borderId="5" xfId="0" applyFont="1" applyFill="1" applyBorder="1"/>
    <xf numFmtId="0" fontId="6" fillId="10" borderId="5" xfId="0" applyFont="1" applyFill="1" applyBorder="1"/>
    <xf numFmtId="0" fontId="6" fillId="0" borderId="4" xfId="0" applyFont="1" applyBorder="1"/>
    <xf numFmtId="0" fontId="6" fillId="8" borderId="5" xfId="0" applyFont="1" applyFill="1" applyBorder="1"/>
    <xf numFmtId="0" fontId="10" fillId="8" borderId="5" xfId="0" applyFont="1" applyFill="1" applyBorder="1"/>
    <xf numFmtId="0" fontId="6" fillId="6" borderId="4" xfId="0" applyFont="1" applyFill="1" applyBorder="1"/>
    <xf numFmtId="0" fontId="8" fillId="6" borderId="5" xfId="0" applyFont="1" applyFill="1" applyBorder="1"/>
    <xf numFmtId="0" fontId="8" fillId="8" borderId="5" xfId="0" applyFont="1" applyFill="1" applyBorder="1"/>
    <xf numFmtId="0" fontId="7" fillId="9" borderId="5" xfId="0" applyFont="1" applyFill="1" applyBorder="1"/>
    <xf numFmtId="0" fontId="6" fillId="0" borderId="1" xfId="0" applyFont="1" applyBorder="1"/>
    <xf numFmtId="0" fontId="13" fillId="6" borderId="2" xfId="0" applyFont="1" applyFill="1" applyBorder="1"/>
    <xf numFmtId="0" fontId="6" fillId="6" borderId="2" xfId="0" applyFont="1" applyFill="1" applyBorder="1"/>
    <xf numFmtId="0" fontId="6" fillId="7" borderId="2" xfId="0" applyFont="1" applyFill="1" applyBorder="1"/>
    <xf numFmtId="0" fontId="11" fillId="7" borderId="5" xfId="0" applyFont="1" applyFill="1" applyBorder="1"/>
    <xf numFmtId="0" fontId="11" fillId="7" borderId="0" xfId="0" applyFont="1" applyFill="1" applyBorder="1"/>
    <xf numFmtId="0" fontId="14" fillId="7" borderId="7" xfId="0" applyFont="1" applyFill="1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6B941-B115-4666-8F80-EA7A6FAD7978}" name="Table1" displayName="Table1" ref="A1:J36" totalsRowShown="0" headerRowDxfId="10">
  <autoFilter ref="A1:J36" xr:uid="{B246B941-B115-4666-8F80-EA7A6FAD7978}"/>
  <tableColumns count="10">
    <tableColumn id="1" xr3:uid="{C0F7252A-084E-4B4C-8696-CECA8225B9BA}" name="Product ID" dataDxfId="9"/>
    <tableColumn id="2" xr3:uid="{0723BE99-F327-4519-8FBA-0AB0F7DFEB95}" name="Product Name" dataDxfId="8"/>
    <tableColumn id="3" xr3:uid="{1E9C37E0-E98F-4106-9F2D-6CDFC6D05496}" name="Brand Name" dataDxfId="7"/>
    <tableColumn id="4" xr3:uid="{06029671-05E7-4E02-B18E-CA40141CF1F4}" name="Price ($)" dataDxfId="6"/>
    <tableColumn id="5" xr3:uid="{35E0E354-FA0D-4285-8C69-677E78F0610B}" name="Quantity" dataDxfId="5"/>
    <tableColumn id="6" xr3:uid="{5F613BFD-9719-4F79-B8F4-25A961ADC9B6}" name="Category" dataDxfId="4"/>
    <tableColumn id="7" xr3:uid="{FFAEB71F-D5D5-4AC8-A97D-B8B926BE5F27}" name="IF">
      <calculatedColumnFormula>IF(D2&gt;=500,"HIGH PRICE", " STANDARD PRICE")</calculatedColumnFormula>
    </tableColumn>
    <tableColumn id="8" xr3:uid="{C30A390F-FC46-4E84-B552-11E974783CA4}" name="LEFT">
      <calculatedColumnFormula>LEFT(A2,2)</calculatedColumnFormula>
    </tableColumn>
    <tableColumn id="9" xr3:uid="{790F24B1-CB33-427D-8946-41F289CF0686}" name="RIGHT">
      <calculatedColumnFormula>RIGHT(A2,2)</calculatedColumnFormula>
    </tableColumn>
    <tableColumn id="10" xr3:uid="{2ED9AF70-86BE-4326-8690-53A51A6B6BCC}" name="MID">
      <calculatedColumnFormula>MID(A2,4,3)</calculatedColumnFormula>
    </tableColumn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BBE206-2482-4918-9C90-5F36567F0C51}" name="Table3" displayName="Table3" ref="M5:M6" totalsRowShown="0" headerRowDxfId="0" dataDxfId="1" tableBorderDxfId="3">
  <autoFilter ref="M5:M6" xr:uid="{98BBE206-2482-4918-9C90-5F36567F0C51}"/>
  <tableColumns count="1">
    <tableColumn id="1" xr3:uid="{FD23A17B-F6C9-459B-927F-AE4EE64D89E5}" name="Column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B9" workbookViewId="0">
      <selection activeCell="B3" sqref="B3:N22"/>
    </sheetView>
  </sheetViews>
  <sheetFormatPr defaultColWidth="12.6328125" defaultRowHeight="15.75" customHeight="1" x14ac:dyDescent="0.25"/>
  <sheetData>
    <row r="1" spans="1:26" ht="1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5" x14ac:dyDescent="0.35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5" x14ac:dyDescent="0.35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5" x14ac:dyDescent="0.35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36"/>
  <sheetViews>
    <sheetView tabSelected="1" topLeftCell="M2" zoomScale="74" workbookViewId="0">
      <selection activeCell="M5" sqref="M5"/>
    </sheetView>
  </sheetViews>
  <sheetFormatPr defaultColWidth="12.6328125" defaultRowHeight="15.75" customHeight="1" x14ac:dyDescent="0.25"/>
  <cols>
    <col min="1" max="1" width="14.26953125" customWidth="1"/>
    <col min="2" max="2" width="17.6328125" customWidth="1"/>
    <col min="3" max="3" width="15.36328125" customWidth="1"/>
    <col min="4" max="4" width="16.08984375" customWidth="1"/>
    <col min="5" max="5" width="14.36328125" customWidth="1"/>
    <col min="6" max="6" width="16.453125" customWidth="1"/>
    <col min="7" max="7" width="19.36328125" customWidth="1"/>
    <col min="13" max="13" width="13.90625" customWidth="1"/>
  </cols>
  <sheetData>
    <row r="1" spans="1:29" ht="13" x14ac:dyDescent="0.3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110</v>
      </c>
      <c r="H1" s="8" t="s">
        <v>111</v>
      </c>
      <c r="I1" s="8" t="s">
        <v>112</v>
      </c>
      <c r="J1" s="8" t="s">
        <v>113</v>
      </c>
    </row>
    <row r="2" spans="1:29" ht="15.75" customHeight="1" x14ac:dyDescent="0.25">
      <c r="A2" s="2" t="s">
        <v>23</v>
      </c>
      <c r="B2" s="2" t="s">
        <v>24</v>
      </c>
      <c r="C2" s="2" t="s">
        <v>25</v>
      </c>
      <c r="D2" s="5">
        <v>1000</v>
      </c>
      <c r="E2" s="5">
        <v>30</v>
      </c>
      <c r="F2" s="2" t="s">
        <v>26</v>
      </c>
      <c r="G2" t="str">
        <f>IF(D2&gt;=500,"HIGH PRICE", " 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29" ht="15.75" customHeight="1" x14ac:dyDescent="0.25">
      <c r="A3" s="6" t="s">
        <v>27</v>
      </c>
      <c r="B3" s="6" t="s">
        <v>28</v>
      </c>
      <c r="C3" s="6" t="s">
        <v>29</v>
      </c>
      <c r="D3" s="7">
        <v>80</v>
      </c>
      <c r="E3" s="7">
        <v>15</v>
      </c>
      <c r="F3" s="6" t="s">
        <v>30</v>
      </c>
      <c r="G3" t="str">
        <f t="shared" ref="G3:G35" si="0">IF(D3&gt;=500,"HIGH PRICE", " STANDARD PRICE")</f>
        <v xml:space="preserve"> 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29" ht="15.75" customHeight="1" x14ac:dyDescent="0.25">
      <c r="A4" s="2" t="s">
        <v>31</v>
      </c>
      <c r="B4" s="2" t="s">
        <v>32</v>
      </c>
      <c r="C4" s="2" t="s">
        <v>33</v>
      </c>
      <c r="D4" s="5">
        <v>130</v>
      </c>
      <c r="E4" s="5">
        <v>40</v>
      </c>
      <c r="F4" s="2" t="s">
        <v>34</v>
      </c>
      <c r="G4" t="str">
        <f t="shared" si="0"/>
        <v xml:space="preserve"> 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29" ht="15.75" customHeight="1" x14ac:dyDescent="0.3">
      <c r="A5" s="6" t="s">
        <v>35</v>
      </c>
      <c r="B5" s="6" t="s">
        <v>36</v>
      </c>
      <c r="C5" s="6" t="s">
        <v>37</v>
      </c>
      <c r="D5" s="7">
        <v>900</v>
      </c>
      <c r="E5" s="7">
        <v>25</v>
      </c>
      <c r="F5" s="6" t="s">
        <v>26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  <c r="M5" s="43" t="s">
        <v>124</v>
      </c>
      <c r="N5" s="16"/>
      <c r="O5" s="16"/>
      <c r="P5" s="16"/>
      <c r="Q5" s="16"/>
      <c r="R5" s="16" t="s">
        <v>123</v>
      </c>
      <c r="S5" s="16"/>
      <c r="T5" s="16"/>
      <c r="U5" s="16"/>
      <c r="V5" s="16"/>
      <c r="W5" s="16"/>
      <c r="X5" s="16"/>
      <c r="Y5" s="17"/>
      <c r="Z5" s="17"/>
      <c r="AA5" s="17"/>
      <c r="AB5" s="17"/>
      <c r="AC5" s="18"/>
    </row>
    <row r="6" spans="1:29" ht="15.75" customHeight="1" x14ac:dyDescent="0.3">
      <c r="A6" s="2" t="s">
        <v>38</v>
      </c>
      <c r="B6" s="2" t="s">
        <v>39</v>
      </c>
      <c r="C6" s="2" t="s">
        <v>40</v>
      </c>
      <c r="D6" s="5">
        <v>70</v>
      </c>
      <c r="E6" s="5">
        <v>20</v>
      </c>
      <c r="F6" s="2" t="s">
        <v>41</v>
      </c>
      <c r="G6" t="str">
        <f t="shared" si="0"/>
        <v xml:space="preserve"> 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  <c r="M6" s="42" t="s">
        <v>115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20"/>
    </row>
    <row r="7" spans="1:29" ht="15.75" customHeight="1" x14ac:dyDescent="0.3">
      <c r="A7" s="6" t="s">
        <v>42</v>
      </c>
      <c r="B7" s="6" t="s">
        <v>43</v>
      </c>
      <c r="C7" s="6" t="s">
        <v>44</v>
      </c>
      <c r="D7" s="7">
        <v>200</v>
      </c>
      <c r="E7" s="7">
        <v>45</v>
      </c>
      <c r="F7" s="6" t="s">
        <v>26</v>
      </c>
      <c r="G7" t="str">
        <f t="shared" si="0"/>
        <v xml:space="preserve"> 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  <c r="M7" s="44" t="s">
        <v>1</v>
      </c>
      <c r="N7" s="2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4"/>
      <c r="AA7" s="24"/>
      <c r="AB7" s="24"/>
      <c r="AC7" s="25"/>
    </row>
    <row r="8" spans="1:29" ht="15.75" customHeight="1" x14ac:dyDescent="0.35">
      <c r="A8" s="2" t="s">
        <v>45</v>
      </c>
      <c r="B8" s="2" t="s">
        <v>46</v>
      </c>
      <c r="C8" s="2" t="s">
        <v>47</v>
      </c>
      <c r="D8" s="5">
        <v>30</v>
      </c>
      <c r="E8" s="5">
        <v>5</v>
      </c>
      <c r="F8" s="2" t="s">
        <v>30</v>
      </c>
      <c r="G8" t="str">
        <f t="shared" si="0"/>
        <v xml:space="preserve"> 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  <c r="M8" s="26"/>
      <c r="N8" s="27" t="s">
        <v>2</v>
      </c>
      <c r="O8" s="28"/>
      <c r="P8" s="28"/>
      <c r="Q8" s="28"/>
      <c r="R8" s="22" t="s">
        <v>120</v>
      </c>
      <c r="S8" s="29">
        <f>SUM(D2:D35)</f>
        <v>10100</v>
      </c>
      <c r="T8" s="28"/>
      <c r="U8" s="28"/>
      <c r="V8" s="28"/>
      <c r="W8" s="28"/>
      <c r="X8" s="28"/>
      <c r="Y8" s="30"/>
      <c r="Z8" s="19"/>
      <c r="AA8" s="19"/>
      <c r="AB8" s="19"/>
      <c r="AC8" s="20"/>
    </row>
    <row r="9" spans="1:29" ht="15.75" customHeight="1" x14ac:dyDescent="0.35">
      <c r="A9" s="6" t="s">
        <v>48</v>
      </c>
      <c r="B9" s="6" t="s">
        <v>49</v>
      </c>
      <c r="C9" s="6" t="s">
        <v>50</v>
      </c>
      <c r="D9" s="7">
        <v>90</v>
      </c>
      <c r="E9" s="7">
        <v>35</v>
      </c>
      <c r="F9" s="6" t="s">
        <v>34</v>
      </c>
      <c r="G9" t="str">
        <f t="shared" si="0"/>
        <v xml:space="preserve"> 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  <c r="M9" s="31"/>
      <c r="N9" s="27" t="s">
        <v>3</v>
      </c>
      <c r="O9" s="28"/>
      <c r="P9" s="28"/>
      <c r="Q9" s="28"/>
      <c r="R9" s="22" t="s">
        <v>121</v>
      </c>
      <c r="S9" s="29">
        <f>COUNT(D2:D35)</f>
        <v>34</v>
      </c>
      <c r="T9" s="28"/>
      <c r="U9" s="28"/>
      <c r="V9" s="28"/>
      <c r="W9" s="28"/>
      <c r="X9" s="28"/>
      <c r="Y9" s="23"/>
      <c r="Z9" s="24"/>
      <c r="AA9" s="24"/>
      <c r="AB9" s="24"/>
      <c r="AC9" s="25"/>
    </row>
    <row r="10" spans="1:29" ht="15.75" customHeight="1" x14ac:dyDescent="0.35">
      <c r="A10" s="2" t="s">
        <v>51</v>
      </c>
      <c r="B10" s="2" t="s">
        <v>52</v>
      </c>
      <c r="C10" s="2" t="s">
        <v>53</v>
      </c>
      <c r="D10" s="5">
        <v>500</v>
      </c>
      <c r="E10" s="5">
        <v>50</v>
      </c>
      <c r="F10" s="2" t="s">
        <v>26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  <c r="M10" s="26"/>
      <c r="N10" s="27" t="s">
        <v>4</v>
      </c>
      <c r="O10" s="28"/>
      <c r="P10" s="28"/>
      <c r="Q10" s="28"/>
      <c r="R10" s="22" t="s">
        <v>122</v>
      </c>
      <c r="S10" s="29">
        <f>AVERAGE(D2:D35)</f>
        <v>297.05882352941177</v>
      </c>
      <c r="T10" s="28"/>
      <c r="U10" s="28"/>
      <c r="V10" s="28"/>
      <c r="W10" s="28"/>
      <c r="X10" s="28"/>
      <c r="Y10" s="30"/>
      <c r="Z10" s="19"/>
      <c r="AA10" s="19"/>
      <c r="AB10" s="19"/>
      <c r="AC10" s="20"/>
    </row>
    <row r="11" spans="1:29" ht="15.75" customHeight="1" x14ac:dyDescent="0.25">
      <c r="A11" s="6" t="s">
        <v>54</v>
      </c>
      <c r="B11" s="6" t="s">
        <v>55</v>
      </c>
      <c r="C11" s="6" t="s">
        <v>56</v>
      </c>
      <c r="D11" s="7">
        <v>130</v>
      </c>
      <c r="E11" s="7">
        <v>10</v>
      </c>
      <c r="F11" s="6" t="s">
        <v>41</v>
      </c>
      <c r="G11" t="str">
        <f t="shared" si="0"/>
        <v xml:space="preserve"> 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  <c r="M11" s="31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3"/>
      <c r="Z11" s="24"/>
      <c r="AA11" s="24"/>
      <c r="AB11" s="24"/>
      <c r="AC11" s="25"/>
    </row>
    <row r="12" spans="1:29" ht="15.75" customHeight="1" x14ac:dyDescent="0.3">
      <c r="A12" s="2" t="s">
        <v>57</v>
      </c>
      <c r="B12" s="2" t="s">
        <v>24</v>
      </c>
      <c r="C12" s="2" t="s">
        <v>58</v>
      </c>
      <c r="D12" s="5">
        <v>950</v>
      </c>
      <c r="E12" s="5">
        <v>25</v>
      </c>
      <c r="F12" s="2" t="s">
        <v>26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  <c r="M12" s="21" t="s">
        <v>5</v>
      </c>
      <c r="N12" s="22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30"/>
      <c r="Z12" s="19"/>
      <c r="AA12" s="19"/>
      <c r="AB12" s="19"/>
      <c r="AC12" s="20"/>
    </row>
    <row r="13" spans="1:29" ht="15.75" customHeight="1" x14ac:dyDescent="0.35">
      <c r="A13" s="6" t="s">
        <v>59</v>
      </c>
      <c r="B13" s="6" t="s">
        <v>28</v>
      </c>
      <c r="C13" s="6" t="s">
        <v>47</v>
      </c>
      <c r="D13" s="7">
        <v>90</v>
      </c>
      <c r="E13" s="7">
        <v>40</v>
      </c>
      <c r="F13" s="6" t="s">
        <v>30</v>
      </c>
      <c r="G13" t="str">
        <f t="shared" si="0"/>
        <v xml:space="preserve"> 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  <c r="M13" s="31"/>
      <c r="N13" s="27" t="s">
        <v>6</v>
      </c>
      <c r="O13" s="28"/>
      <c r="P13" s="28"/>
      <c r="Q13" s="28"/>
      <c r="R13" s="22" t="s">
        <v>118</v>
      </c>
      <c r="S13" s="32">
        <f>MIN(D2:D35)</f>
        <v>30</v>
      </c>
      <c r="T13" s="28"/>
      <c r="U13" s="28"/>
      <c r="V13" s="28"/>
      <c r="W13" s="28"/>
      <c r="X13" s="28"/>
      <c r="Y13" s="23"/>
      <c r="Z13" s="24"/>
      <c r="AA13" s="24"/>
      <c r="AB13" s="24"/>
      <c r="AC13" s="25"/>
    </row>
    <row r="14" spans="1:29" ht="15.75" customHeight="1" x14ac:dyDescent="0.35">
      <c r="A14" s="2" t="s">
        <v>60</v>
      </c>
      <c r="B14" s="2" t="s">
        <v>32</v>
      </c>
      <c r="C14" s="2" t="s">
        <v>61</v>
      </c>
      <c r="D14" s="5">
        <v>120</v>
      </c>
      <c r="E14" s="5">
        <v>35</v>
      </c>
      <c r="F14" s="2" t="s">
        <v>34</v>
      </c>
      <c r="G14" t="str">
        <f t="shared" si="0"/>
        <v xml:space="preserve"> 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  <c r="M14" s="26"/>
      <c r="N14" s="27" t="s">
        <v>7</v>
      </c>
      <c r="O14" s="28"/>
      <c r="P14" s="28"/>
      <c r="Q14" s="28"/>
      <c r="R14" s="22" t="s">
        <v>119</v>
      </c>
      <c r="S14" s="33">
        <f>MAX(D2:D35)</f>
        <v>1000</v>
      </c>
      <c r="T14" s="28"/>
      <c r="U14" s="28"/>
      <c r="V14" s="28"/>
      <c r="W14" s="28"/>
      <c r="X14" s="28"/>
      <c r="Y14" s="30"/>
      <c r="Z14" s="19"/>
      <c r="AA14" s="19"/>
      <c r="AB14" s="19"/>
      <c r="AC14" s="20"/>
    </row>
    <row r="15" spans="1:29" ht="15.75" customHeight="1" x14ac:dyDescent="0.25">
      <c r="A15" s="6" t="s">
        <v>62</v>
      </c>
      <c r="B15" s="6" t="s">
        <v>63</v>
      </c>
      <c r="C15" s="6" t="s">
        <v>64</v>
      </c>
      <c r="D15" s="7">
        <v>150</v>
      </c>
      <c r="E15" s="7">
        <v>15</v>
      </c>
      <c r="F15" s="6" t="s">
        <v>26</v>
      </c>
      <c r="G15" t="str">
        <f t="shared" si="0"/>
        <v xml:space="preserve"> 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  <c r="M15" s="31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3"/>
      <c r="Z15" s="24"/>
      <c r="AA15" s="24"/>
      <c r="AB15" s="24"/>
      <c r="AC15" s="25"/>
    </row>
    <row r="16" spans="1:29" ht="15.75" customHeight="1" x14ac:dyDescent="0.3">
      <c r="A16" s="2" t="s">
        <v>65</v>
      </c>
      <c r="B16" s="2" t="s">
        <v>43</v>
      </c>
      <c r="C16" s="2" t="s">
        <v>66</v>
      </c>
      <c r="D16" s="5">
        <v>250</v>
      </c>
      <c r="E16" s="5">
        <v>20</v>
      </c>
      <c r="F16" s="2" t="s">
        <v>26</v>
      </c>
      <c r="G16" t="str">
        <f t="shared" si="0"/>
        <v xml:space="preserve"> 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  <c r="M16" s="21" t="s">
        <v>8</v>
      </c>
      <c r="N16" s="22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30"/>
      <c r="Z16" s="19"/>
      <c r="AA16" s="19"/>
      <c r="AB16" s="19"/>
      <c r="AC16" s="20"/>
    </row>
    <row r="17" spans="1:29" ht="15.75" customHeight="1" x14ac:dyDescent="0.35">
      <c r="A17" s="6" t="s">
        <v>67</v>
      </c>
      <c r="B17" s="6" t="s">
        <v>68</v>
      </c>
      <c r="C17" s="6" t="s">
        <v>69</v>
      </c>
      <c r="D17" s="7">
        <v>50</v>
      </c>
      <c r="E17" s="7">
        <v>35</v>
      </c>
      <c r="F17" s="6" t="s">
        <v>70</v>
      </c>
      <c r="G17" t="str">
        <f t="shared" si="0"/>
        <v xml:space="preserve"> 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  <c r="M17" s="34"/>
      <c r="N17" s="27" t="s">
        <v>9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35"/>
      <c r="AA17" s="36" t="s">
        <v>110</v>
      </c>
      <c r="AB17" s="37" t="str">
        <f>IF(D2&gt;=500, "high price", "standard price")</f>
        <v>high price</v>
      </c>
      <c r="AC17" s="25"/>
    </row>
    <row r="18" spans="1:29" ht="15.75" customHeight="1" x14ac:dyDescent="0.25">
      <c r="A18" s="2" t="s">
        <v>71</v>
      </c>
      <c r="B18" s="2" t="s">
        <v>63</v>
      </c>
      <c r="C18" s="2" t="s">
        <v>72</v>
      </c>
      <c r="D18" s="5">
        <v>160</v>
      </c>
      <c r="E18" s="5">
        <v>15</v>
      </c>
      <c r="F18" s="2" t="s">
        <v>26</v>
      </c>
      <c r="G18" t="str">
        <f t="shared" si="0"/>
        <v xml:space="preserve"> 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  <c r="M18" s="26"/>
      <c r="N18" s="28"/>
      <c r="O18" s="35"/>
      <c r="P18" s="28"/>
      <c r="Q18" s="28"/>
      <c r="R18" s="28"/>
      <c r="S18" s="35"/>
      <c r="T18" s="28"/>
      <c r="U18" s="28"/>
      <c r="V18" s="28"/>
      <c r="W18" s="28"/>
      <c r="X18" s="28"/>
      <c r="Y18" s="30"/>
      <c r="Z18" s="19"/>
      <c r="AA18" s="19"/>
      <c r="AB18" s="19"/>
      <c r="AC18" s="20"/>
    </row>
    <row r="19" spans="1:29" ht="15.75" customHeight="1" x14ac:dyDescent="0.3">
      <c r="A19" s="6" t="s">
        <v>73</v>
      </c>
      <c r="B19" s="6" t="s">
        <v>24</v>
      </c>
      <c r="C19" s="6" t="s">
        <v>74</v>
      </c>
      <c r="D19" s="7">
        <v>980</v>
      </c>
      <c r="E19" s="7">
        <v>10</v>
      </c>
      <c r="F19" s="6" t="s">
        <v>26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  <c r="M19" s="21" t="s">
        <v>10</v>
      </c>
      <c r="N19" s="22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3"/>
      <c r="Z19" s="24"/>
      <c r="AA19" s="24"/>
      <c r="AB19" s="24"/>
      <c r="AC19" s="25"/>
    </row>
    <row r="20" spans="1:29" ht="15.5" x14ac:dyDescent="0.35">
      <c r="A20" s="2" t="s">
        <v>75</v>
      </c>
      <c r="B20" s="2" t="s">
        <v>76</v>
      </c>
      <c r="C20" s="2" t="s">
        <v>77</v>
      </c>
      <c r="D20" s="5">
        <v>150</v>
      </c>
      <c r="E20" s="5">
        <v>15</v>
      </c>
      <c r="F20" s="2" t="s">
        <v>30</v>
      </c>
      <c r="G20" t="str">
        <f t="shared" si="0"/>
        <v xml:space="preserve"> 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  <c r="M20" s="26"/>
      <c r="N20" s="27" t="s">
        <v>11</v>
      </c>
      <c r="O20" s="28"/>
      <c r="P20" s="28"/>
      <c r="Q20" s="28"/>
      <c r="R20" s="28"/>
      <c r="S20" s="28"/>
      <c r="T20" s="28"/>
      <c r="U20" s="22" t="s">
        <v>116</v>
      </c>
      <c r="V20" s="32">
        <f>SUMIF(F2:F35, "Electronics",D2:D35)</f>
        <v>8050</v>
      </c>
      <c r="W20" s="28"/>
      <c r="X20" s="28"/>
      <c r="Y20" s="30"/>
      <c r="Z20" s="19"/>
      <c r="AA20" s="19"/>
      <c r="AB20" s="19"/>
      <c r="AC20" s="20"/>
    </row>
    <row r="21" spans="1:29" ht="15.5" x14ac:dyDescent="0.35">
      <c r="A21" s="6" t="s">
        <v>78</v>
      </c>
      <c r="B21" s="6" t="s">
        <v>79</v>
      </c>
      <c r="C21" s="6" t="s">
        <v>80</v>
      </c>
      <c r="D21" s="7">
        <v>200</v>
      </c>
      <c r="E21" s="7">
        <v>10</v>
      </c>
      <c r="F21" s="6" t="s">
        <v>41</v>
      </c>
      <c r="G21" t="str">
        <f t="shared" si="0"/>
        <v xml:space="preserve"> 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  <c r="M21" s="31"/>
      <c r="N21" s="27" t="s">
        <v>12</v>
      </c>
      <c r="O21" s="28"/>
      <c r="P21" s="28"/>
      <c r="Q21" s="28"/>
      <c r="R21" s="28"/>
      <c r="S21" s="28"/>
      <c r="T21" s="28"/>
      <c r="U21" s="22" t="s">
        <v>117</v>
      </c>
      <c r="V21" s="32">
        <f>COUNTIF(D2:D35,"&lt;100")</f>
        <v>11</v>
      </c>
      <c r="W21" s="28"/>
      <c r="X21" s="28"/>
      <c r="Y21" s="23"/>
      <c r="Z21" s="24"/>
      <c r="AA21" s="24"/>
      <c r="AB21" s="24"/>
      <c r="AC21" s="25"/>
    </row>
    <row r="22" spans="1:29" ht="12.5" x14ac:dyDescent="0.25">
      <c r="A22" s="2" t="s">
        <v>81</v>
      </c>
      <c r="B22" s="2" t="s">
        <v>82</v>
      </c>
      <c r="C22" s="2" t="s">
        <v>83</v>
      </c>
      <c r="D22" s="5">
        <v>700</v>
      </c>
      <c r="E22" s="5">
        <v>50</v>
      </c>
      <c r="F22" s="2" t="s">
        <v>26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  <c r="M22" s="26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30"/>
      <c r="Z22" s="19"/>
      <c r="AA22" s="19"/>
      <c r="AB22" s="19"/>
      <c r="AC22" s="20"/>
    </row>
    <row r="23" spans="1:29" ht="15" x14ac:dyDescent="0.3">
      <c r="A23" s="6" t="s">
        <v>84</v>
      </c>
      <c r="B23" s="6" t="s">
        <v>85</v>
      </c>
      <c r="C23" s="6" t="s">
        <v>86</v>
      </c>
      <c r="D23" s="7">
        <v>80</v>
      </c>
      <c r="E23" s="7">
        <v>20</v>
      </c>
      <c r="F23" s="6" t="s">
        <v>34</v>
      </c>
      <c r="G23" t="str">
        <f t="shared" si="0"/>
        <v xml:space="preserve"> 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  <c r="M23" s="21" t="s">
        <v>13</v>
      </c>
      <c r="N23" s="22"/>
      <c r="O23" s="22"/>
      <c r="P23" s="22"/>
      <c r="Q23" s="28"/>
      <c r="R23" s="28"/>
      <c r="S23" s="28"/>
      <c r="T23" s="28"/>
      <c r="U23" s="28"/>
      <c r="V23" s="28"/>
      <c r="W23" s="28"/>
      <c r="X23" s="28"/>
      <c r="Y23" s="23"/>
      <c r="Z23" s="24"/>
      <c r="AA23" s="24"/>
      <c r="AB23" s="24"/>
      <c r="AC23" s="25"/>
    </row>
    <row r="24" spans="1:29" ht="15.5" x14ac:dyDescent="0.35">
      <c r="A24" s="2" t="s">
        <v>87</v>
      </c>
      <c r="B24" s="2" t="s">
        <v>88</v>
      </c>
      <c r="C24" s="2" t="s">
        <v>89</v>
      </c>
      <c r="D24" s="5">
        <v>150</v>
      </c>
      <c r="E24" s="5">
        <v>30</v>
      </c>
      <c r="F24" s="2" t="s">
        <v>26</v>
      </c>
      <c r="G24" t="str">
        <f t="shared" si="0"/>
        <v xml:space="preserve"> 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  <c r="M24" s="26"/>
      <c r="N24" s="27" t="s">
        <v>14</v>
      </c>
      <c r="O24" s="28"/>
      <c r="P24" s="28"/>
      <c r="Q24" s="28"/>
      <c r="R24" s="28"/>
      <c r="S24" s="28"/>
      <c r="T24" s="28"/>
      <c r="U24" s="28"/>
      <c r="V24" s="22" t="s">
        <v>111</v>
      </c>
      <c r="W24" s="32" t="str">
        <f>LEFT(A2,2)</f>
        <v>28</v>
      </c>
      <c r="X24" s="28"/>
      <c r="Y24" s="30"/>
      <c r="Z24" s="19"/>
      <c r="AA24" s="19"/>
      <c r="AB24" s="19"/>
      <c r="AC24" s="20"/>
    </row>
    <row r="25" spans="1:29" ht="15.5" x14ac:dyDescent="0.35">
      <c r="A25" s="6" t="s">
        <v>67</v>
      </c>
      <c r="B25" s="6" t="s">
        <v>68</v>
      </c>
      <c r="C25" s="6" t="s">
        <v>69</v>
      </c>
      <c r="D25" s="7">
        <v>50</v>
      </c>
      <c r="E25" s="7">
        <v>35</v>
      </c>
      <c r="F25" s="6" t="s">
        <v>70</v>
      </c>
      <c r="G25" t="str">
        <f t="shared" si="0"/>
        <v xml:space="preserve"> 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  <c r="M25" s="38"/>
      <c r="N25" s="39" t="s">
        <v>15</v>
      </c>
      <c r="O25" s="40"/>
      <c r="P25" s="40"/>
      <c r="Q25" s="40"/>
      <c r="R25" s="40"/>
      <c r="S25" s="40"/>
      <c r="T25" s="40"/>
      <c r="U25" s="40"/>
      <c r="V25" s="40"/>
      <c r="W25" s="40"/>
      <c r="X25" s="41" t="s">
        <v>112</v>
      </c>
      <c r="Y25" s="41" t="str">
        <f>RIGHT(A2,2)</f>
        <v>US</v>
      </c>
      <c r="Z25" s="14"/>
      <c r="AA25" s="14"/>
      <c r="AB25" s="14"/>
      <c r="AC25" s="15"/>
    </row>
    <row r="26" spans="1:29" ht="15.5" x14ac:dyDescent="0.35">
      <c r="A26" s="2" t="s">
        <v>90</v>
      </c>
      <c r="B26" s="2" t="s">
        <v>36</v>
      </c>
      <c r="C26" s="2" t="s">
        <v>91</v>
      </c>
      <c r="D26" s="5">
        <v>800</v>
      </c>
      <c r="E26" s="5">
        <v>45</v>
      </c>
      <c r="F26" s="2" t="s">
        <v>26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  <c r="M26" s="2"/>
      <c r="N26" s="11" t="s">
        <v>16</v>
      </c>
      <c r="O26" s="12"/>
      <c r="P26" s="12"/>
      <c r="Q26" s="12"/>
      <c r="R26" s="12"/>
      <c r="S26" s="12"/>
      <c r="T26" s="12"/>
      <c r="U26" s="12"/>
      <c r="V26" s="12"/>
      <c r="W26" s="12"/>
      <c r="X26" s="13" t="s">
        <v>113</v>
      </c>
      <c r="Y26" s="13" t="str">
        <f>MID(A2,4,3)</f>
        <v>JAN</v>
      </c>
    </row>
    <row r="27" spans="1:29" ht="12.5" x14ac:dyDescent="0.25">
      <c r="A27" s="6" t="s">
        <v>92</v>
      </c>
      <c r="B27" s="6" t="s">
        <v>76</v>
      </c>
      <c r="C27" s="6" t="s">
        <v>93</v>
      </c>
      <c r="D27" s="7">
        <v>130</v>
      </c>
      <c r="E27" s="7">
        <v>25</v>
      </c>
      <c r="F27" s="6" t="s">
        <v>30</v>
      </c>
      <c r="G27" t="str">
        <f t="shared" si="0"/>
        <v xml:space="preserve"> 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29" ht="12.5" x14ac:dyDescent="0.25">
      <c r="A28" s="2" t="s">
        <v>94</v>
      </c>
      <c r="B28" s="2" t="s">
        <v>49</v>
      </c>
      <c r="C28" s="2" t="s">
        <v>95</v>
      </c>
      <c r="D28" s="5">
        <v>400</v>
      </c>
      <c r="E28" s="5">
        <v>40</v>
      </c>
      <c r="F28" s="2" t="s">
        <v>34</v>
      </c>
      <c r="G28" t="str">
        <f t="shared" si="0"/>
        <v xml:space="preserve"> 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29" ht="12.5" x14ac:dyDescent="0.25">
      <c r="A29" s="6" t="s">
        <v>65</v>
      </c>
      <c r="B29" s="6" t="s">
        <v>43</v>
      </c>
      <c r="C29" s="6" t="s">
        <v>66</v>
      </c>
      <c r="D29" s="7">
        <v>230</v>
      </c>
      <c r="E29" s="7">
        <v>20</v>
      </c>
      <c r="F29" s="6" t="s">
        <v>26</v>
      </c>
      <c r="G29" t="str">
        <f t="shared" si="0"/>
        <v xml:space="preserve"> 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29" ht="12.5" x14ac:dyDescent="0.25">
      <c r="A30" s="2" t="s">
        <v>96</v>
      </c>
      <c r="B30" s="2" t="s">
        <v>97</v>
      </c>
      <c r="C30" s="2" t="s">
        <v>98</v>
      </c>
      <c r="D30" s="5">
        <v>60</v>
      </c>
      <c r="E30" s="5">
        <v>30</v>
      </c>
      <c r="F30" s="2" t="s">
        <v>30</v>
      </c>
      <c r="G30" t="str">
        <f t="shared" si="0"/>
        <v xml:space="preserve"> 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29" ht="12.5" x14ac:dyDescent="0.25">
      <c r="A31" s="6" t="s">
        <v>99</v>
      </c>
      <c r="B31" s="6" t="s">
        <v>100</v>
      </c>
      <c r="C31" s="6" t="s">
        <v>101</v>
      </c>
      <c r="D31" s="7">
        <v>40</v>
      </c>
      <c r="E31" s="7">
        <v>10</v>
      </c>
      <c r="F31" s="6" t="s">
        <v>34</v>
      </c>
      <c r="G31" t="str">
        <f t="shared" si="0"/>
        <v xml:space="preserve"> 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29" ht="12.5" x14ac:dyDescent="0.25">
      <c r="A32" s="2" t="s">
        <v>102</v>
      </c>
      <c r="B32" s="2" t="s">
        <v>88</v>
      </c>
      <c r="C32" s="2" t="s">
        <v>103</v>
      </c>
      <c r="D32" s="5">
        <v>130</v>
      </c>
      <c r="E32" s="5">
        <v>5</v>
      </c>
      <c r="F32" s="2" t="s">
        <v>26</v>
      </c>
      <c r="G32" t="str">
        <f>IF(D32&gt;=500,"HIGH PRICE", " STANDARD PRICE")</f>
        <v xml:space="preserve"> 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2.5" x14ac:dyDescent="0.25">
      <c r="A33" s="6" t="s">
        <v>104</v>
      </c>
      <c r="B33" s="6" t="s">
        <v>105</v>
      </c>
      <c r="C33" s="6" t="s">
        <v>106</v>
      </c>
      <c r="D33" s="7">
        <v>50</v>
      </c>
      <c r="E33" s="7">
        <v>50</v>
      </c>
      <c r="F33" s="6" t="s">
        <v>30</v>
      </c>
      <c r="G33" t="str">
        <f t="shared" si="0"/>
        <v xml:space="preserve"> 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2.5" x14ac:dyDescent="0.25">
      <c r="A34" s="2" t="s">
        <v>57</v>
      </c>
      <c r="B34" s="2" t="s">
        <v>24</v>
      </c>
      <c r="C34" s="2" t="s">
        <v>58</v>
      </c>
      <c r="D34" s="5">
        <v>950</v>
      </c>
      <c r="E34" s="5">
        <v>25</v>
      </c>
      <c r="F34" s="2" t="s">
        <v>26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2.5" x14ac:dyDescent="0.25">
      <c r="A35" s="6" t="s">
        <v>107</v>
      </c>
      <c r="B35" s="6" t="s">
        <v>108</v>
      </c>
      <c r="C35" s="6" t="s">
        <v>109</v>
      </c>
      <c r="D35" s="7">
        <v>100</v>
      </c>
      <c r="E35" s="7">
        <v>20</v>
      </c>
      <c r="F35" s="6" t="s">
        <v>70</v>
      </c>
      <c r="G35" t="str">
        <f t="shared" si="0"/>
        <v xml:space="preserve"> 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5">
      <c r="A36" s="6"/>
      <c r="B36" s="6"/>
      <c r="C36" s="10" t="s">
        <v>114</v>
      </c>
      <c r="D36" s="9">
        <f>SUM(D2:D35)</f>
        <v>10100</v>
      </c>
      <c r="E36" s="7"/>
      <c r="F36" s="6"/>
      <c r="H36" t="str">
        <f>LEFT(A36,2)</f>
        <v/>
      </c>
      <c r="I36" t="str">
        <f>RIGHT(A36,2)</f>
        <v/>
      </c>
      <c r="J36" t="str">
        <f>MID(A36,4,3)</f>
        <v/>
      </c>
    </row>
  </sheetData>
  <phoneticPr fontId="15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ASSIGNMENT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ambatijaganreddyj@hotmail.com</cp:lastModifiedBy>
  <dcterms:modified xsi:type="dcterms:W3CDTF">2026-05-11T16:11:09Z</dcterms:modified>
</cp:coreProperties>
</file>